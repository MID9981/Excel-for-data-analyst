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 Analyst Course\"/>
    </mc:Choice>
  </mc:AlternateContent>
  <xr:revisionPtr revIDLastSave="0" documentId="13_ncr:1_{244E225E-709A-4146-8AF3-50A917FD74C1}" xr6:coauthVersionLast="47" xr6:coauthVersionMax="47" xr10:uidLastSave="{00000000-0000-0000-0000-000000000000}"/>
  <bookViews>
    <workbookView xWindow="-120" yWindow="-120" windowWidth="24240" windowHeight="13020" firstSheet="4" activeTab="9" xr2:uid="{47981922-77C5-4EC3-A76E-98D6CE997DC2}"/>
  </bookViews>
  <sheets>
    <sheet name="Max-Min" sheetId="9" r:id="rId1"/>
    <sheet name="IF-IFS" sheetId="8" r:id="rId2"/>
    <sheet name="Len" sheetId="2" r:id="rId3"/>
    <sheet name="LeftRight" sheetId="4" r:id="rId4"/>
    <sheet name="DateToText" sheetId="3" r:id="rId5"/>
    <sheet name="TRIM" sheetId="6" r:id="rId6"/>
    <sheet name="Concatenate" sheetId="1" r:id="rId7"/>
    <sheet name="Substitute" sheetId="7" r:id="rId8"/>
    <sheet name="SUM-SumIF" sheetId="12" r:id="rId9"/>
    <sheet name="Count-CountIF" sheetId="5" r:id="rId10"/>
    <sheet name="Days-NetworkDays" sheetId="13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5" l="1"/>
  <c r="J2" i="5"/>
  <c r="L2" i="5"/>
  <c r="K3" i="1"/>
  <c r="K4" i="1"/>
  <c r="K5" i="1"/>
  <c r="K6" i="1"/>
  <c r="K7" i="1"/>
  <c r="K8" i="1"/>
  <c r="K9" i="1"/>
  <c r="K10" i="1"/>
  <c r="K2" i="1"/>
  <c r="C12" i="1"/>
  <c r="I12" i="3" a="1"/>
  <c r="I12" i="3" s="1"/>
  <c r="F12" i="8" a="1"/>
  <c r="F12" i="8" s="1"/>
  <c r="E12" i="8" a="1"/>
  <c r="E12" i="8" s="1"/>
  <c r="K2" i="9"/>
  <c r="J2" i="9"/>
  <c r="M2" i="7" a="1"/>
  <c r="M2" i="7" s="1"/>
  <c r="J2" i="1"/>
  <c r="J3" i="1"/>
  <c r="K2" i="3" a="1"/>
  <c r="K2" i="3" s="1"/>
  <c r="J2" i="3" a="1"/>
  <c r="J2" i="3" s="1"/>
  <c r="K2" i="8" a="1"/>
  <c r="K2" i="8" s="1"/>
  <c r="K2" i="12"/>
  <c r="M2" i="12"/>
  <c r="L2" i="12"/>
  <c r="J2" i="12"/>
  <c r="L2" i="7" a="1"/>
  <c r="L2" i="7" s="1"/>
  <c r="K2" i="7" a="1"/>
  <c r="K2" i="7" s="1"/>
  <c r="J3" i="7"/>
  <c r="J4" i="7"/>
  <c r="J5" i="7"/>
  <c r="J6" i="7"/>
  <c r="J7" i="7"/>
  <c r="J8" i="7"/>
  <c r="J9" i="7"/>
  <c r="J10" i="7"/>
  <c r="J2" i="7"/>
  <c r="K11" i="1"/>
  <c r="J4" i="1"/>
  <c r="J5" i="1"/>
  <c r="J6" i="1"/>
  <c r="J7" i="1"/>
  <c r="J8" i="1"/>
  <c r="J9" i="1"/>
  <c r="J10" i="1"/>
  <c r="J2" i="6" a="1"/>
  <c r="J2" i="6" s="1"/>
  <c r="M2" i="3" a="1"/>
  <c r="M2" i="3" s="1"/>
  <c r="L2" i="3" a="1"/>
  <c r="L2" i="3" s="1"/>
  <c r="L2" i="4" a="1"/>
  <c r="L2" i="4" s="1"/>
  <c r="K2" i="4" a="1"/>
  <c r="K2" i="4" s="1"/>
  <c r="J2" i="2" a="1"/>
  <c r="J2" i="2" s="1"/>
  <c r="L2" i="8" a="1"/>
  <c r="L2" i="8" s="1"/>
  <c r="J2" i="8" a="1"/>
  <c r="J2" i="8" s="1"/>
  <c r="H11" i="1"/>
  <c r="K12" i="1" l="1"/>
  <c r="H1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<sst xmlns="http://schemas.openxmlformats.org/spreadsheetml/2006/main" count="587" uniqueCount="90">
  <si>
    <t>FirstName</t>
  </si>
  <si>
    <t>LastName</t>
  </si>
  <si>
    <t>Jim</t>
  </si>
  <si>
    <t>Halpert</t>
  </si>
  <si>
    <t>Pam</t>
  </si>
  <si>
    <t>Beasley</t>
  </si>
  <si>
    <t>Dwight</t>
  </si>
  <si>
    <t>Schrute</t>
  </si>
  <si>
    <t>Michael</t>
  </si>
  <si>
    <t>Scott</t>
  </si>
  <si>
    <t>Kevin</t>
  </si>
  <si>
    <t>Malone</t>
  </si>
  <si>
    <t>Martin</t>
  </si>
  <si>
    <t>Angela</t>
  </si>
  <si>
    <t>Toby</t>
  </si>
  <si>
    <t>Flenderson</t>
  </si>
  <si>
    <t>Stanley</t>
  </si>
  <si>
    <t>Hudson</t>
  </si>
  <si>
    <t>CONCATENATE(B2," ",C2)</t>
  </si>
  <si>
    <t>LEN(B2)</t>
  </si>
  <si>
    <t>EmployeeID</t>
  </si>
  <si>
    <t>JobTitle</t>
  </si>
  <si>
    <t>Salary</t>
  </si>
  <si>
    <t>Age</t>
  </si>
  <si>
    <t>Gender</t>
  </si>
  <si>
    <t>Salesman</t>
  </si>
  <si>
    <t>Male</t>
  </si>
  <si>
    <t>Receptionist</t>
  </si>
  <si>
    <t>Female</t>
  </si>
  <si>
    <t>Accountant</t>
  </si>
  <si>
    <t>HR</t>
  </si>
  <si>
    <t>Regional Manager</t>
  </si>
  <si>
    <t>Supplier Relations</t>
  </si>
  <si>
    <t>Meredith</t>
  </si>
  <si>
    <t>Palmer</t>
  </si>
  <si>
    <t>Can be used to see difference between 100s and thousands. Can find bad Social Security numbers if they're 10 digits instead of 9</t>
  </si>
  <si>
    <t>StartDate</t>
  </si>
  <si>
    <t>EndDate</t>
  </si>
  <si>
    <t>Email</t>
  </si>
  <si>
    <t>Jim.Halpert@DunderMifflin.com</t>
  </si>
  <si>
    <t>Pam.Beasley@DunderMifflin.com</t>
  </si>
  <si>
    <t>Dwight.Schrute@AOL.com</t>
  </si>
  <si>
    <t>Angela.Martin@DunderMifflin.com</t>
  </si>
  <si>
    <t>Toby.Flenderson@DunderMifflinCorporate.com</t>
  </si>
  <si>
    <t>Michael.Scott@DunderMifflin.com</t>
  </si>
  <si>
    <t>Meredith.Palmer@Yahoo.com</t>
  </si>
  <si>
    <t>Stanley.Hudson@gmail.com</t>
  </si>
  <si>
    <t>Kevin.Malone@DunderMifflin.com</t>
  </si>
  <si>
    <t>11/2/2001</t>
  </si>
  <si>
    <t>10/3/1999</t>
  </si>
  <si>
    <t>7/4/2000</t>
  </si>
  <si>
    <t>1/5/2000</t>
  </si>
  <si>
    <t>5/6/2001</t>
  </si>
  <si>
    <t>11/8/2003</t>
  </si>
  <si>
    <t>6/9/2002</t>
  </si>
  <si>
    <t>8/10/2003</t>
  </si>
  <si>
    <t>9/6/2015</t>
  </si>
  <si>
    <t>10/10/2015</t>
  </si>
  <si>
    <t>9/8/2017</t>
  </si>
  <si>
    <t>12/3/2015</t>
  </si>
  <si>
    <t>8/30/2017</t>
  </si>
  <si>
    <t>9/11/2013</t>
  </si>
  <si>
    <t>4/22/2015</t>
  </si>
  <si>
    <t xml:space="preserve">Malone </t>
  </si>
  <si>
    <t xml:space="preserve">  Hudson</t>
  </si>
  <si>
    <t xml:space="preserve">   Scott</t>
  </si>
  <si>
    <t xml:space="preserve">Flenderson    </t>
  </si>
  <si>
    <t xml:space="preserve"> Schrute</t>
  </si>
  <si>
    <t>TRIM(C2)</t>
  </si>
  <si>
    <t>It just removes unwanted spaces on both sides</t>
  </si>
  <si>
    <t>with 1 instance</t>
  </si>
  <si>
    <t>with 2 instances</t>
  </si>
  <si>
    <t>with NO instances</t>
  </si>
  <si>
    <t>SUM</t>
  </si>
  <si>
    <t>SUMIF</t>
  </si>
  <si>
    <t>SUMIFS</t>
  </si>
  <si>
    <t>COUNT</t>
  </si>
  <si>
    <t>COUNTIF</t>
  </si>
  <si>
    <t>COUNTIFS</t>
  </si>
  <si>
    <t>Max</t>
  </si>
  <si>
    <t>Min</t>
  </si>
  <si>
    <t>IF</t>
  </si>
  <si>
    <t>IFS</t>
  </si>
  <si>
    <t>DAYS</t>
  </si>
  <si>
    <t>NETWORKDAYS</t>
  </si>
  <si>
    <t>Left</t>
  </si>
  <si>
    <t>Right</t>
  </si>
  <si>
    <t>TEXT Format</t>
  </si>
  <si>
    <t>TEXT(H2,"dd/mm/yyyy") Wrong if the cell is in Date format. We have to change it to TEXT Format in order to get "Right or Left" crop of numbers or textes)</t>
  </si>
  <si>
    <t>Now can use "Right" 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</si>
</sst>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49" fontId="0" fillId="0" borderId="0" xfId="0" applyNumberFormat="1"/>
    <xf numFmtId="0" fontId="2" fillId="0" borderId="0" xfId="0" applyFont="1"/>
    <xf numFmtId="0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D7546-D251-4908-B99A-2A3B4BFE22EA}">
  <sheetPr>
    <tabColor theme="9"/>
  </sheetPr>
  <dimension ref="A1:K10"/>
  <sheetViews>
    <sheetView topLeftCell="D1" zoomScale="180" workbookViewId="0">
      <selection activeCell="I4" sqref="I4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79</v>
      </c>
      <c r="K1" t="s">
        <v>80</v>
      </c>
    </row>
    <row r="2" spans="1:11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s="1">
        <f>MAX(I2:I10)</f>
        <v>42986</v>
      </c>
      <c r="K2" s="1">
        <f>MIN(H2:H10)</f>
        <v>35040</v>
      </c>
    </row>
    <row r="3" spans="1:11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1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1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1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1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1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1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1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3BB1-397D-4AFC-8E96-ABE0D0515A1B}">
  <sheetPr>
    <tabColor theme="9"/>
  </sheetPr>
  <dimension ref="A1:L20"/>
  <sheetViews>
    <sheetView topLeftCell="C1" zoomScale="134" workbookViewId="0">
      <selection activeCell="F13" sqref="F13"/>
    </sheetView>
  </sheetViews>
  <sheetFormatPr defaultColWidth="13.7109375" defaultRowHeight="15" x14ac:dyDescent="0.25"/>
  <cols>
    <col min="1" max="1" width="10.7109375" bestFit="1" customWidth="1"/>
    <col min="4" max="4" width="7.7109375" customWidth="1"/>
    <col min="6" max="6" width="22.28515625" customWidth="1"/>
    <col min="11" max="11" width="18.85546875" customWidth="1"/>
    <col min="12" max="12" width="25.5703125" customWidth="1"/>
  </cols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81</v>
      </c>
      <c r="K1" t="s">
        <v>82</v>
      </c>
      <c r="L1" t="s">
        <v>82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IF( D2:D10 &gt; 30, "OLD", "Young")</f>
        <v>Young</v>
      </c>
      <c r="K2" t="str" cm="1">
        <f t="array" ref="K2:K10">_xlfn.IFS( F2:F10 = "Salesman", "Bonus", F2:F10 = "Regional Manager", "Bonus", F2:F10 = "HR", "None", F2:F10 = "Receptionist", "Bonus", F2:F10 = "Accountant", "None", F2:F10 = "Supplier Relations", "Bonus")</f>
        <v>Bonus</v>
      </c>
      <c r="L2" t="str" cm="1">
        <f t="array" ref="L2:L10">_xlfn.IFS( E2:E10 = "Male", "Performance Provision", E2:E10 = "Female", "Department Change")</f>
        <v>Performance Provision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Young</v>
      </c>
      <c r="K3" t="str">
        <v>Bonus</v>
      </c>
      <c r="L3" t="str">
        <v>Department Change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Young</v>
      </c>
      <c r="K4" t="str">
        <v>Bonus</v>
      </c>
      <c r="L4" t="str">
        <v>Performance Provision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OLD</v>
      </c>
      <c r="K5" t="str">
        <v>None</v>
      </c>
      <c r="L5" t="str">
        <v>Department Change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OLD</v>
      </c>
      <c r="K6" t="str">
        <v>None</v>
      </c>
      <c r="L6" t="str">
        <v>Performance Provision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OLD</v>
      </c>
      <c r="K7" t="str">
        <v>Bonus</v>
      </c>
      <c r="L7" t="str">
        <v>Performance Provision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OLD</v>
      </c>
      <c r="K8" t="str">
        <v>Bonus</v>
      </c>
      <c r="L8" t="str">
        <v>Department Change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OLD</v>
      </c>
      <c r="K9" t="str">
        <v>Bonus</v>
      </c>
      <c r="L9" t="str">
        <v>Performance Provision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OLD</v>
      </c>
      <c r="K10" t="str">
        <v>None</v>
      </c>
      <c r="L10" t="str">
        <v>Performance Provision</v>
      </c>
    </row>
    <row r="12" spans="1:12" x14ac:dyDescent="0.25">
      <c r="E12" t="str" cm="1">
        <f t="array" ref="E12:E20">IF(D2:D10 &gt; 30,"Old","Young")</f>
        <v>Young</v>
      </c>
      <c r="F12" t="str" cm="1">
        <f t="array" ref="F12:F20">_xlfn.IFS(F2:F10= "Salesman", "Bonus", F2:F10= "HR","Fire Immediately")</f>
        <v>Bonus</v>
      </c>
    </row>
    <row r="13" spans="1:12" x14ac:dyDescent="0.25">
      <c r="E13" t="str">
        <v>Young</v>
      </c>
      <c r="F13" t="e">
        <v>#N/A</v>
      </c>
    </row>
    <row r="14" spans="1:12" x14ac:dyDescent="0.25">
      <c r="E14" t="str">
        <v>Young</v>
      </c>
      <c r="F14" t="str">
        <v>Bonus</v>
      </c>
    </row>
    <row r="15" spans="1:12" x14ac:dyDescent="0.25">
      <c r="E15" t="str">
        <v>Old</v>
      </c>
      <c r="F15" t="e">
        <v>#N/A</v>
      </c>
    </row>
    <row r="16" spans="1:12" x14ac:dyDescent="0.25">
      <c r="E16" t="str">
        <v>Old</v>
      </c>
      <c r="F16" t="str">
        <v>Fire Immediately</v>
      </c>
    </row>
    <row r="17" spans="5:6" x14ac:dyDescent="0.25">
      <c r="E17" t="str">
        <v>Old</v>
      </c>
      <c r="F17" t="e">
        <v>#N/A</v>
      </c>
    </row>
    <row r="18" spans="5:6" x14ac:dyDescent="0.25">
      <c r="E18" t="str">
        <v>Old</v>
      </c>
      <c r="F18" t="e">
        <v>#N/A</v>
      </c>
    </row>
    <row r="19" spans="5:6" x14ac:dyDescent="0.25">
      <c r="E19" t="str">
        <v>Old</v>
      </c>
      <c r="F19" t="str">
        <v>Bonus</v>
      </c>
    </row>
    <row r="20" spans="5:6" x14ac:dyDescent="0.25">
      <c r="E20" t="str">
        <v>Old</v>
      </c>
      <c r="F20" t="e">
        <v>#N/A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B4A2A-B2F2-4EC9-9616-29355E7995DC}">
  <sheetPr>
    <tabColor theme="9"/>
  </sheetPr>
  <dimension ref="A1:L10"/>
  <sheetViews>
    <sheetView topLeftCell="D1" zoomScale="147" workbookViewId="0">
      <selection activeCell="L9" sqref="L9"/>
    </sheetView>
  </sheetViews>
  <sheetFormatPr defaultColWidth="10.85546875" defaultRowHeight="15" x14ac:dyDescent="0.25"/>
  <cols>
    <col min="1" max="1" width="10.7109375" bestFit="1" customWidth="1"/>
  </cols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19</v>
      </c>
      <c r="L1" t="s">
        <v>35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cm="1">
        <f t="array" ref="J2:J10">LEN(F2:F10)</f>
        <v>8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v>12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>
        <v>8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>
        <v>10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>
        <v>2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>
        <v>16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>
        <v>18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>
        <v>8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954FE-DA24-43B2-AD9D-17E8CC017065}">
  <sheetPr>
    <tabColor theme="9"/>
  </sheetPr>
  <dimension ref="A1:M10"/>
  <sheetViews>
    <sheetView topLeftCell="E1" zoomScale="119" workbookViewId="0">
      <selection activeCell="J15" sqref="J15"/>
    </sheetView>
  </sheetViews>
  <sheetFormatPr defaultColWidth="14.5703125" defaultRowHeight="15" x14ac:dyDescent="0.25"/>
  <cols>
    <col min="4" max="4" width="8" customWidth="1"/>
    <col min="10" max="10" width="42.7109375" customWidth="1"/>
    <col min="11" max="11" width="20.7109375" customWidth="1"/>
  </cols>
  <sheetData>
    <row r="1" spans="1:13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38</v>
      </c>
      <c r="K1" t="s">
        <v>85</v>
      </c>
      <c r="L1" t="s">
        <v>86</v>
      </c>
      <c r="M1" t="s">
        <v>86</v>
      </c>
    </row>
    <row r="2" spans="1:13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t="s">
        <v>39</v>
      </c>
      <c r="K2" t="str" cm="1">
        <f t="array" ref="K2:K10">LEFT(B2:B10, "4")</f>
        <v>Jim</v>
      </c>
      <c r="L2" t="str" cm="1">
        <f t="array" ref="L2:L10">RIGHT(I2:I10, 4)</f>
        <v>2015</v>
      </c>
    </row>
    <row r="3" spans="1:13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s="1" t="s">
        <v>40</v>
      </c>
      <c r="K3" t="str">
        <v>Pam</v>
      </c>
      <c r="L3" t="str">
        <v>2015</v>
      </c>
    </row>
    <row r="4" spans="1:13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s="1" t="s">
        <v>41</v>
      </c>
      <c r="K4" t="str">
        <v>Dwig</v>
      </c>
      <c r="L4" t="str">
        <v>2017</v>
      </c>
    </row>
    <row r="5" spans="1:13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 s="1" t="s">
        <v>42</v>
      </c>
      <c r="K5" t="str">
        <v>Ange</v>
      </c>
      <c r="L5" t="str">
        <v>2015</v>
      </c>
    </row>
    <row r="6" spans="1:13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s="1" t="s">
        <v>43</v>
      </c>
      <c r="K6" t="str">
        <v>Toby</v>
      </c>
      <c r="L6" t="str">
        <v>2017</v>
      </c>
    </row>
    <row r="7" spans="1:13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s="1" t="s">
        <v>44</v>
      </c>
      <c r="K7" t="str">
        <v>Mich</v>
      </c>
      <c r="L7" t="str">
        <v>2013</v>
      </c>
    </row>
    <row r="8" spans="1:13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s="1" t="s">
        <v>45</v>
      </c>
      <c r="K8" t="str">
        <v>Mere</v>
      </c>
      <c r="L8" t="str">
        <v>2013</v>
      </c>
    </row>
    <row r="9" spans="1:13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s="1" t="s">
        <v>46</v>
      </c>
      <c r="K9" t="str">
        <v>Stan</v>
      </c>
      <c r="L9" t="str">
        <v>2015</v>
      </c>
    </row>
    <row r="10" spans="1:13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s="1" t="s">
        <v>47</v>
      </c>
      <c r="K10" t="str">
        <v>Kevi</v>
      </c>
      <c r="L10" t="str">
        <v>2015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4862C-FF60-4E24-9054-4C595B8DA66E}">
  <sheetPr>
    <tabColor theme="9"/>
  </sheetPr>
  <dimension ref="A1:M20"/>
  <sheetViews>
    <sheetView topLeftCell="F1" zoomScale="139" zoomScaleNormal="100" workbookViewId="0">
      <selection activeCell="I12" sqref="I12"/>
    </sheetView>
  </sheetViews>
  <sheetFormatPr defaultColWidth="13.7109375" defaultRowHeight="15" x14ac:dyDescent="0.25"/>
  <cols>
    <col min="1" max="1" width="10.7109375" bestFit="1" customWidth="1"/>
    <col min="4" max="4" width="7.7109375" customWidth="1"/>
    <col min="10" max="10" width="25.85546875" customWidth="1"/>
    <col min="11" max="11" width="16.7109375" style="4" customWidth="1"/>
  </cols>
  <sheetData>
    <row r="1" spans="1:13" s="5" customFormat="1" ht="92.25" customHeight="1" x14ac:dyDescent="0.25">
      <c r="A1" s="5" t="s">
        <v>20</v>
      </c>
      <c r="B1" s="5" t="s">
        <v>0</v>
      </c>
      <c r="C1" s="5" t="s">
        <v>1</v>
      </c>
      <c r="D1" s="5" t="s">
        <v>23</v>
      </c>
      <c r="E1" s="5" t="s">
        <v>24</v>
      </c>
      <c r="F1" s="5" t="s">
        <v>21</v>
      </c>
      <c r="G1" s="5" t="s">
        <v>22</v>
      </c>
      <c r="H1" s="5" t="s">
        <v>36</v>
      </c>
      <c r="I1" s="5" t="s">
        <v>37</v>
      </c>
      <c r="J1" s="6" t="s">
        <v>88</v>
      </c>
      <c r="K1" s="7" t="s">
        <v>87</v>
      </c>
      <c r="M1" s="6" t="s">
        <v>89</v>
      </c>
    </row>
    <row r="2" spans="1:13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s="3" t="str" cm="1">
        <f t="array" ref="J2:J10">RIGHT(I2:I10, 4)</f>
        <v>2253</v>
      </c>
      <c r="K2" s="4" t="str" cm="1">
        <f t="array" ref="K2:K10">TEXT(H2:H10, "dd/mm/yyyy")</f>
        <v>02/11/2001</v>
      </c>
      <c r="L2" t="str" cm="1">
        <f t="array" ref="L2:L10">TEXT(I2:I10, "dd/mm/yyyy")</f>
        <v>06/09/2015</v>
      </c>
      <c r="M2" t="str" cm="1">
        <f t="array" ref="M2:M10">RIGHT(_xlfn.ANCHORARRAY(L2),4)</f>
        <v>2015</v>
      </c>
    </row>
    <row r="3" spans="1:13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s="3" t="str">
        <v>2287</v>
      </c>
      <c r="K3" s="4" t="str">
        <v>03/10/1999</v>
      </c>
      <c r="L3" t="str">
        <v>10/10/2015</v>
      </c>
      <c r="M3" t="str">
        <v>2015</v>
      </c>
    </row>
    <row r="4" spans="1:13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s="3" t="str">
        <v>2986</v>
      </c>
      <c r="K4" s="4" t="str">
        <v>04/07/2000</v>
      </c>
      <c r="L4" t="str">
        <v>08/09/2017</v>
      </c>
      <c r="M4" t="str">
        <v>2017</v>
      </c>
    </row>
    <row r="5" spans="1:13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s="3" t="str">
        <v>2341</v>
      </c>
      <c r="K5" s="4" t="str">
        <v>05/01/2000</v>
      </c>
      <c r="L5" t="str">
        <v>03/12/2015</v>
      </c>
      <c r="M5" t="str">
        <v>2015</v>
      </c>
    </row>
    <row r="6" spans="1:13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s="3" t="str">
        <v>2977</v>
      </c>
      <c r="K6" s="4" t="str">
        <v>06/05/2001</v>
      </c>
      <c r="L6" t="str">
        <v>30/08/2017</v>
      </c>
      <c r="M6" t="str">
        <v>2017</v>
      </c>
    </row>
    <row r="7" spans="1:13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s="3" t="str">
        <v>1528</v>
      </c>
      <c r="K7" s="4" t="str">
        <v>07/12/1995</v>
      </c>
      <c r="L7" t="str">
        <v>11/09/2013</v>
      </c>
      <c r="M7" t="str">
        <v>2013</v>
      </c>
    </row>
    <row r="8" spans="1:13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s="3" t="str">
        <v>1551</v>
      </c>
      <c r="K8" s="4" t="str">
        <v>08/11/2003</v>
      </c>
      <c r="L8" t="str">
        <v>04/10/2013</v>
      </c>
      <c r="M8" t="str">
        <v>2013</v>
      </c>
    </row>
    <row r="9" spans="1:13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s="3" t="str">
        <v>2116</v>
      </c>
      <c r="K9" s="4" t="str">
        <v>09/06/2002</v>
      </c>
      <c r="L9" t="str">
        <v>22/04/2015</v>
      </c>
      <c r="M9" t="str">
        <v>2015</v>
      </c>
    </row>
    <row r="10" spans="1:13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s="3" t="str">
        <v>0800</v>
      </c>
      <c r="K10" s="4" t="str">
        <v>10/08/2003</v>
      </c>
      <c r="L10" t="str">
        <v>14/09/2011</v>
      </c>
      <c r="M10" t="str">
        <v>2011</v>
      </c>
    </row>
    <row r="12" spans="1:13" x14ac:dyDescent="0.25">
      <c r="H12" s="1"/>
      <c r="I12" t="str" cm="1">
        <f t="array" ref="I12:I20">TEXT(I2:I10, "dd/mm/yyyy")</f>
        <v>06/09/2015</v>
      </c>
    </row>
    <row r="13" spans="1:13" x14ac:dyDescent="0.25">
      <c r="H13" s="2"/>
      <c r="I13" t="str">
        <v>10/10/2015</v>
      </c>
    </row>
    <row r="14" spans="1:13" x14ac:dyDescent="0.25">
      <c r="I14" t="str">
        <v>08/09/2017</v>
      </c>
    </row>
    <row r="15" spans="1:13" x14ac:dyDescent="0.25">
      <c r="I15" t="str">
        <v>03/12/2015</v>
      </c>
    </row>
    <row r="16" spans="1:13" x14ac:dyDescent="0.25">
      <c r="I16" t="str">
        <v>30/08/2017</v>
      </c>
    </row>
    <row r="17" spans="9:9" x14ac:dyDescent="0.25">
      <c r="I17" t="str">
        <v>11/09/2013</v>
      </c>
    </row>
    <row r="18" spans="9:9" x14ac:dyDescent="0.25">
      <c r="I18" t="str">
        <v>04/10/2013</v>
      </c>
    </row>
    <row r="19" spans="9:9" x14ac:dyDescent="0.25">
      <c r="I19" t="str">
        <v>22/04/2015</v>
      </c>
    </row>
    <row r="20" spans="9:9" x14ac:dyDescent="0.25">
      <c r="I20" t="str">
        <v>14/09/2011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69BBA-836F-48E1-B067-27B71B706556}">
  <sheetPr>
    <tabColor theme="9"/>
  </sheetPr>
  <dimension ref="A1:K10"/>
  <sheetViews>
    <sheetView workbookViewId="0">
      <selection activeCell="K2" sqref="K2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68</v>
      </c>
      <c r="K1" t="s">
        <v>69</v>
      </c>
    </row>
    <row r="2" spans="1:11" x14ac:dyDescent="0.25">
      <c r="A2">
        <v>1001</v>
      </c>
      <c r="B2" s="2" t="s">
        <v>2</v>
      </c>
      <c r="C2" s="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TRIM(C2:C10)</f>
        <v>Halpert</v>
      </c>
    </row>
    <row r="3" spans="1:11" x14ac:dyDescent="0.25">
      <c r="A3">
        <v>1002</v>
      </c>
      <c r="B3" s="2" t="s">
        <v>4</v>
      </c>
      <c r="C3" s="2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Beasley</v>
      </c>
    </row>
    <row r="4" spans="1:11" x14ac:dyDescent="0.25">
      <c r="A4">
        <v>1003</v>
      </c>
      <c r="B4" s="2" t="s">
        <v>6</v>
      </c>
      <c r="C4" s="2" t="s">
        <v>67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Schrute</v>
      </c>
    </row>
    <row r="5" spans="1:11" x14ac:dyDescent="0.25">
      <c r="A5">
        <v>1004</v>
      </c>
      <c r="B5" s="2" t="s">
        <v>13</v>
      </c>
      <c r="C5" s="2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Martin</v>
      </c>
    </row>
    <row r="6" spans="1:11" x14ac:dyDescent="0.25">
      <c r="A6">
        <v>1005</v>
      </c>
      <c r="B6" s="2" t="s">
        <v>14</v>
      </c>
      <c r="C6" s="2" t="s">
        <v>66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Flenderson</v>
      </c>
    </row>
    <row r="7" spans="1:11" x14ac:dyDescent="0.25">
      <c r="A7">
        <v>1006</v>
      </c>
      <c r="B7" s="2" t="s">
        <v>8</v>
      </c>
      <c r="C7" s="2" t="s">
        <v>65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Scott</v>
      </c>
    </row>
    <row r="8" spans="1:11" x14ac:dyDescent="0.25">
      <c r="A8">
        <v>1007</v>
      </c>
      <c r="B8" s="2" t="s">
        <v>33</v>
      </c>
      <c r="C8" s="2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Palmer</v>
      </c>
    </row>
    <row r="9" spans="1:11" x14ac:dyDescent="0.25">
      <c r="A9">
        <v>1008</v>
      </c>
      <c r="B9" s="2" t="s">
        <v>16</v>
      </c>
      <c r="C9" s="2" t="s">
        <v>64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Hudson</v>
      </c>
    </row>
    <row r="10" spans="1:11" x14ac:dyDescent="0.25">
      <c r="A10">
        <v>1009</v>
      </c>
      <c r="B10" s="2" t="s">
        <v>10</v>
      </c>
      <c r="C10" s="2" t="s">
        <v>63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Malone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77C31-5FD1-4473-A6A1-29ABAD3F7755}">
  <sheetPr>
    <tabColor theme="9"/>
  </sheetPr>
  <dimension ref="A1:K12"/>
  <sheetViews>
    <sheetView workbookViewId="0">
      <selection activeCell="K10" sqref="K10"/>
    </sheetView>
  </sheetViews>
  <sheetFormatPr defaultRowHeight="15" x14ac:dyDescent="0.25"/>
  <cols>
    <col min="2" max="2" width="10.42578125" customWidth="1"/>
    <col min="3" max="5" width="10.7109375" customWidth="1"/>
    <col min="6" max="6" width="16.5703125" customWidth="1"/>
    <col min="8" max="8" width="14.28515625" customWidth="1"/>
    <col min="9" max="9" width="14.7109375" customWidth="1"/>
    <col min="10" max="10" width="27.42578125" customWidth="1"/>
    <col min="11" max="11" width="33.140625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18</v>
      </c>
    </row>
    <row r="2" spans="1:11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CONCATENATE(B2,C2, "@gmail.com")</f>
        <v>JimHalpert@gmail.com</v>
      </c>
      <c r="K2" t="str">
        <f>CONCATENATE(B2,"  ",C2,"  ",F2)</f>
        <v>Jim  Halpert  Salesman</v>
      </c>
    </row>
    <row r="3" spans="1:11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>CONCATENATE(B3,C3, "@gmail.com")</f>
        <v>PamBeasley@gmail.com</v>
      </c>
      <c r="K3" t="str">
        <f t="shared" ref="K3:K10" si="0">CONCATENATE(B3,"  ",C3,"  ",F3)</f>
        <v>Pam  Beasley  Receptionist</v>
      </c>
    </row>
    <row r="4" spans="1:11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ref="J3:J12" si="1">CONCATENATE(B4,C4, "@gmail.com")</f>
        <v>DwightSchrute@gmail.com</v>
      </c>
      <c r="K4" t="str">
        <f t="shared" si="0"/>
        <v>Dwight  Schrute  Salesman</v>
      </c>
    </row>
    <row r="5" spans="1:11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1"/>
        <v>AngelaMartin@gmail.com</v>
      </c>
      <c r="K5" t="str">
        <f t="shared" si="0"/>
        <v>Angela  Martin  Accountant</v>
      </c>
    </row>
    <row r="6" spans="1:11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1"/>
        <v>TobyFlenderson@gmail.com</v>
      </c>
      <c r="K6" t="str">
        <f t="shared" si="0"/>
        <v>Toby  Flenderson  HR</v>
      </c>
    </row>
    <row r="7" spans="1:11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1"/>
        <v>MichaelScott@gmail.com</v>
      </c>
      <c r="K7" t="str">
        <f t="shared" si="0"/>
        <v>Michael  Scott  Regional Manager</v>
      </c>
    </row>
    <row r="8" spans="1:11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1"/>
        <v>MeredithPalmer@gmail.com</v>
      </c>
      <c r="K8" t="str">
        <f t="shared" si="0"/>
        <v>Meredith  Palmer  Supplier Relations</v>
      </c>
    </row>
    <row r="9" spans="1:11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1"/>
        <v>StanleyHudson@gmail.com</v>
      </c>
      <c r="K9" t="str">
        <f t="shared" si="0"/>
        <v>Stanley  Hudson  Salesman</v>
      </c>
    </row>
    <row r="10" spans="1:11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1"/>
        <v>KevinMalone@gmail.com</v>
      </c>
      <c r="K10" t="str">
        <f t="shared" si="0"/>
        <v>Kevin  Malone  Accountant</v>
      </c>
    </row>
    <row r="11" spans="1:11" x14ac:dyDescent="0.25">
      <c r="H11" t="str">
        <f t="shared" ref="H11:H12" si="2">CONCATENATE(B11," ",C11)</f>
        <v xml:space="preserve"> </v>
      </c>
      <c r="K11" t="str">
        <f t="shared" ref="K3:K12" si="3">CONCATENATE(B11," ",C11)</f>
        <v xml:space="preserve"> </v>
      </c>
    </row>
    <row r="12" spans="1:11" x14ac:dyDescent="0.25">
      <c r="C12" t="str">
        <f>CONCATENATE(B2,"  ",C2,"  ",F2)</f>
        <v>Jim  Halpert  Salesman</v>
      </c>
      <c r="H12" t="str">
        <f t="shared" si="2"/>
        <v xml:space="preserve"> Jim  Halpert  Salesman</v>
      </c>
      <c r="K12" t="str">
        <f t="shared" si="3"/>
        <v xml:space="preserve"> Jim  Halpert  Salesman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B9C42-087D-43BC-95CC-49AE54CDC17A}">
  <sheetPr>
    <tabColor theme="9"/>
  </sheetPr>
  <dimension ref="A1:M20"/>
  <sheetViews>
    <sheetView topLeftCell="C1" zoomScale="120" workbookViewId="0">
      <selection activeCell="M3" sqref="M3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3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70</v>
      </c>
      <c r="K1" t="s">
        <v>71</v>
      </c>
      <c r="L1" t="s">
        <v>72</v>
      </c>
    </row>
    <row r="2" spans="1:13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t="str">
        <f>SUBSTITUTE(H2, "/", ".", 1)</f>
        <v>11.2/2001</v>
      </c>
      <c r="K2" t="str" cm="1">
        <f t="array" ref="K2:K10">SUBSTITUTE(I2:I10,"/","-","2")</f>
        <v>9/6-2015</v>
      </c>
      <c r="L2" t="str" cm="1">
        <f t="array" ref="L2:L10">SUBSTITUTE(I2:I10,"/","-")</f>
        <v>9-6-2015</v>
      </c>
      <c r="M2" t="str" cm="1">
        <f t="array" ref="M2:M10">SUBSTITUTE(H2:H10, "/",".")</f>
        <v>11.2.2001</v>
      </c>
    </row>
    <row r="3" spans="1:13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t="str">
        <f t="shared" ref="J3:J10" si="0">SUBSTITUTE(H3, "/", ".", 1)</f>
        <v>10.3/1999</v>
      </c>
      <c r="K3" t="str">
        <v>10/10-2015</v>
      </c>
      <c r="L3" t="str">
        <v>10-10-2015</v>
      </c>
      <c r="M3" t="str">
        <v>10.3.1999</v>
      </c>
    </row>
    <row r="4" spans="1:13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t="str">
        <f t="shared" si="0"/>
        <v>7.4/2000</v>
      </c>
      <c r="K4" t="str">
        <v>9/8-2017</v>
      </c>
      <c r="L4" t="str">
        <v>9-8-2017</v>
      </c>
      <c r="M4" t="str">
        <v>7.4.2000</v>
      </c>
    </row>
    <row r="5" spans="1:13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 t="str">
        <f t="shared" si="0"/>
        <v>1.5/2000</v>
      </c>
      <c r="K5" t="str">
        <v>12/3-2015</v>
      </c>
      <c r="L5" t="str">
        <v>12-3-2015</v>
      </c>
      <c r="M5" t="str">
        <v>1.5.2000</v>
      </c>
    </row>
    <row r="6" spans="1:13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t="str">
        <f t="shared" si="0"/>
        <v>5.6/2001</v>
      </c>
      <c r="K6" t="str">
        <v>8/30-2017</v>
      </c>
      <c r="L6" t="str">
        <v>8-30-2017</v>
      </c>
      <c r="M6" t="str">
        <v>5.6.2001</v>
      </c>
    </row>
    <row r="7" spans="1:13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t="str">
        <f t="shared" si="0"/>
        <v>5.6/2001</v>
      </c>
      <c r="K7" t="str">
        <v>9/11-2013</v>
      </c>
      <c r="L7" t="str">
        <v>9-11-2013</v>
      </c>
      <c r="M7" t="str">
        <v>5.6.2001</v>
      </c>
    </row>
    <row r="8" spans="1:13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t="str">
        <f t="shared" si="0"/>
        <v>11.8/2003</v>
      </c>
      <c r="K8" t="str">
        <v>9/11-2013</v>
      </c>
      <c r="L8" t="str">
        <v>9-11-2013</v>
      </c>
      <c r="M8" t="str">
        <v>11.8.2003</v>
      </c>
    </row>
    <row r="9" spans="1:13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t="str">
        <f t="shared" si="0"/>
        <v>6.9/2002</v>
      </c>
      <c r="K9" t="str">
        <v>4/22-2015</v>
      </c>
      <c r="L9" t="str">
        <v>4-22-2015</v>
      </c>
      <c r="M9" t="str">
        <v>6.9.2002</v>
      </c>
    </row>
    <row r="10" spans="1:13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t="str">
        <f t="shared" si="0"/>
        <v>8.10/2003</v>
      </c>
      <c r="K10" t="str">
        <v>4/22-2015</v>
      </c>
      <c r="L10" t="str">
        <v>4-22-2015</v>
      </c>
      <c r="M10" t="str">
        <v>8.10.2003</v>
      </c>
    </row>
    <row r="12" spans="1:13" x14ac:dyDescent="0.25">
      <c r="H12" s="2"/>
      <c r="I12" s="2"/>
    </row>
    <row r="13" spans="1:13" x14ac:dyDescent="0.25">
      <c r="H13" s="2"/>
      <c r="I13" s="2"/>
    </row>
    <row r="14" spans="1:13" x14ac:dyDescent="0.25">
      <c r="H14" s="2"/>
      <c r="I14" s="2"/>
    </row>
    <row r="15" spans="1:13" x14ac:dyDescent="0.25">
      <c r="H15" s="2"/>
      <c r="I15" s="2"/>
    </row>
    <row r="16" spans="1:13" x14ac:dyDescent="0.25">
      <c r="H16" s="2"/>
      <c r="I16" s="2"/>
    </row>
    <row r="17" spans="8:9" x14ac:dyDescent="0.25">
      <c r="H17" s="2"/>
      <c r="I17" s="2"/>
    </row>
    <row r="18" spans="8:9" x14ac:dyDescent="0.25">
      <c r="H18" s="2"/>
      <c r="I18" s="2"/>
    </row>
    <row r="19" spans="8:9" x14ac:dyDescent="0.25">
      <c r="H19" s="2"/>
      <c r="I19" s="2"/>
    </row>
    <row r="20" spans="8:9" x14ac:dyDescent="0.25">
      <c r="H20" s="2"/>
      <c r="I20" s="2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1C5D0-EC67-4288-8B29-30C6E5CFEE73}">
  <sheetPr>
    <tabColor theme="9"/>
  </sheetPr>
  <dimension ref="A1:M10"/>
  <sheetViews>
    <sheetView zoomScale="129" workbookViewId="0">
      <selection activeCell="M8" sqref="M8"/>
    </sheetView>
  </sheetViews>
  <sheetFormatPr defaultColWidth="13" defaultRowHeight="15" x14ac:dyDescent="0.25"/>
  <sheetData>
    <row r="1" spans="1:13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73</v>
      </c>
      <c r="K1" t="s">
        <v>74</v>
      </c>
      <c r="L1" t="s">
        <v>75</v>
      </c>
      <c r="M1" t="s">
        <v>75</v>
      </c>
    </row>
    <row r="2" spans="1:13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SUM(G2:G10)</f>
        <v>437000</v>
      </c>
      <c r="K2">
        <f>SUMIF(G2:G10,"&gt;50000")</f>
        <v>128000</v>
      </c>
      <c r="L2">
        <f>SUMIFS(G2:G10,D2:D10,"&gt;30")</f>
        <v>293000</v>
      </c>
      <c r="M2">
        <f>SUMIFS(G2:G10,F2:F10,"Salesman")</f>
        <v>156000</v>
      </c>
    </row>
    <row r="3" spans="1:13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3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3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3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3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3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3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3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17F6E-9452-40AF-AFA2-377600A25F44}">
  <sheetPr>
    <tabColor theme="9"/>
  </sheetPr>
  <dimension ref="A1:L10"/>
  <sheetViews>
    <sheetView tabSelected="1" topLeftCell="D1" zoomScale="128" workbookViewId="0">
      <selection activeCell="L2" sqref="L2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76</v>
      </c>
      <c r="K1" t="s">
        <v>77</v>
      </c>
      <c r="L1" t="s">
        <v>78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COUNT(G2:G10)</f>
        <v>9</v>
      </c>
      <c r="K2">
        <f>COUNTIF(E2:E10, "Male")</f>
        <v>6</v>
      </c>
      <c r="L2">
        <f>COUNTIFS(F2:F10,"Salesman", G2:G10,"&gt;40000")</f>
        <v>3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ACEFD-E950-4ACE-A7FD-83ED10CB531A}">
  <sheetPr>
    <tabColor theme="9"/>
  </sheetPr>
  <dimension ref="A1:K10"/>
  <sheetViews>
    <sheetView workbookViewId="0">
      <selection activeCell="J2" sqref="J2"/>
    </sheetView>
  </sheetViews>
  <sheetFormatPr defaultRowHeight="15" x14ac:dyDescent="0.25"/>
  <cols>
    <col min="8" max="8" width="14.42578125" customWidth="1"/>
    <col min="9" max="9" width="13.28515625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83</v>
      </c>
      <c r="K1" t="s">
        <v>84</v>
      </c>
    </row>
    <row r="2" spans="1:11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</row>
    <row r="3" spans="1:11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</row>
    <row r="4" spans="1:11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</row>
    <row r="5" spans="1:11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</row>
    <row r="6" spans="1:11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</row>
    <row r="7" spans="1:11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</row>
    <row r="8" spans="1:11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</row>
    <row r="9" spans="1:11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</row>
    <row r="10" spans="1:11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Max-Min</vt:lpstr>
      <vt:lpstr>IF-IFS</vt:lpstr>
      <vt:lpstr>Len</vt:lpstr>
      <vt:lpstr>LeftRight</vt:lpstr>
      <vt:lpstr>DateToText</vt:lpstr>
      <vt:lpstr>TRIM</vt:lpstr>
      <vt:lpstr>Concatenate</vt:lpstr>
      <vt:lpstr>Substitute</vt:lpstr>
      <vt:lpstr>SUM-SumIF</vt:lpstr>
      <vt:lpstr>Count-CountIF</vt:lpstr>
      <vt:lpstr>Days-NetworkDays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Min Min</cp:lastModifiedBy>
  <dcterms:created xsi:type="dcterms:W3CDTF">2021-12-16T14:18:34Z</dcterms:created>
  <dcterms:modified xsi:type="dcterms:W3CDTF">2026-01-11T09:24:19Z</dcterms:modified>
</cp:coreProperties>
</file>